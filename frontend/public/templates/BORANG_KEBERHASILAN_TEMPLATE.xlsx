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e-nilai\frontend\public\templates\"/>
    </mc:Choice>
  </mc:AlternateContent>
  <xr:revisionPtr revIDLastSave="0" documentId="8_{A69EBBE3-0ED1-4149-A9AD-3D7EC68C7A87}" xr6:coauthVersionLast="47" xr6:coauthVersionMax="47" xr10:uidLastSave="{00000000-0000-0000-0000-000000000000}"/>
  <bookViews>
    <workbookView xWindow="-110" yWindow="-110" windowWidth="19420" windowHeight="10420" xr2:uid="{69FA4130-50F4-41E7-8E71-B8366A397138}"/>
  </bookViews>
  <sheets>
    <sheet name="BORANG KEBERHASILAN" sheetId="1" r:id="rId1"/>
    <sheet name="Sheet1" sheetId="3" r:id="rId2"/>
    <sheet name="Sheet2" sheetId="2" state="hidden" r:id="rId3"/>
  </sheets>
  <definedNames>
    <definedName name="_xlnm.Print_Area" localSheetId="0">'BORANG KEBERHASILAN'!$A$1:$I$27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H19" i="1"/>
  <c r="H20" i="1"/>
  <c r="H21" i="1" l="1"/>
  <c r="H22" i="1" s="1"/>
  <c r="E21" i="1"/>
  <c r="E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Cikgu Mahdy</author>
  </authors>
  <commentList>
    <comment ref="D8" authorId="0" shapeId="0" xr:uid="{395F2312-D6FF-490B-BC85-45C122B9AD50}">
      <text>
        <r>
          <rPr>
            <sz val="11"/>
            <color indexed="81"/>
            <rFont val="Arial Narrow"/>
            <family val="2"/>
          </rPr>
          <t>Pencapaian sasaran PYD semasa penilaian pertama dilaksanakan.</t>
        </r>
      </text>
    </comment>
    <comment ref="E8" authorId="0" shapeId="0" xr:uid="{C575CF71-D953-4A33-B10C-4BB1D4C590B1}">
      <text>
        <r>
          <rPr>
            <sz val="11"/>
            <color indexed="81"/>
            <rFont val="Arial Narrow"/>
            <family val="2"/>
          </rPr>
          <t>Peratus bagi pencapaian sasaran semasa penilaian pertama.</t>
        </r>
      </text>
    </comment>
    <comment ref="F8" authorId="0" shapeId="0" xr:uid="{19A24692-D762-4F84-82A7-75B6594B3EE7}">
      <text>
        <r>
          <rPr>
            <sz val="11"/>
            <color indexed="81"/>
            <rFont val="Arial Narrow"/>
            <family val="2"/>
          </rPr>
          <t>kedudukan sasaran selepas semakan semula (KEKAL/ TAMBAH/ GUGUR/ PINDA)</t>
        </r>
      </text>
    </comment>
    <comment ref="G8" authorId="0" shapeId="0" xr:uid="{53C8BEA0-717F-4305-82DA-19ECCEF927E5}">
      <text>
        <r>
          <rPr>
            <sz val="11"/>
            <color indexed="81"/>
            <rFont val="Arial Narrow"/>
            <family val="2"/>
          </rPr>
          <t>Pencapaian sasaran PYD semasa penilaian akhir dilaksanakan.</t>
        </r>
      </text>
    </comment>
    <comment ref="H8" authorId="0" shapeId="0" xr:uid="{48FAEF34-AFAC-4722-B5C8-F4CAF1079AD0}">
      <text>
        <r>
          <rPr>
            <sz val="11"/>
            <color indexed="81"/>
            <rFont val="Arial Narrow"/>
            <family val="2"/>
          </rPr>
          <t>Peratus bagi pencapaian sasaran semasa penilaian akhir.</t>
        </r>
      </text>
    </comment>
    <comment ref="E22" authorId="0" shapeId="0" xr:uid="{62050168-EA38-45CF-9278-6AE0D69E5049}">
      <text>
        <r>
          <rPr>
            <i/>
            <sz val="11"/>
            <color indexed="81"/>
            <rFont val="Arial Narrow"/>
            <family val="2"/>
          </rPr>
          <t>Key-in</t>
        </r>
        <r>
          <rPr>
            <sz val="11"/>
            <color indexed="81"/>
            <rFont val="Arial Narrow"/>
            <family val="2"/>
          </rPr>
          <t xml:space="preserve"> skor ini dalam Sistem e-Prestasi di bahagian Instrumen Keberhasilan semasa penilaian pertama.</t>
        </r>
      </text>
    </comment>
    <comment ref="H22" authorId="0" shapeId="0" xr:uid="{D6D714F9-1256-4F39-AEB7-79AFA021344C}">
      <text>
        <r>
          <rPr>
            <sz val="11"/>
            <color indexed="81"/>
            <rFont val="Arial Narrow"/>
            <family val="2"/>
          </rPr>
          <t>Key-in skor ini dalam Sistem e-Prestasi di bahagian Instrumen Keberhasilan semasa penilaian akhir.</t>
        </r>
      </text>
    </comment>
  </commentList>
</comments>
</file>

<file path=xl/sharedStrings.xml><?xml version="1.0" encoding="utf-8"?>
<sst xmlns="http://schemas.openxmlformats.org/spreadsheetml/2006/main" count="43" uniqueCount="37">
  <si>
    <t>SASARAN KEBERHASILAN</t>
  </si>
  <si>
    <t>PENILAIAN PERTAMA</t>
  </si>
  <si>
    <t>PENILAIAN AKHIR</t>
  </si>
  <si>
    <t>CATATAN</t>
  </si>
  <si>
    <t>BIDANG TUGAS/ FUNGSI/ AKAUNTABILITI</t>
  </si>
  <si>
    <t>BIL</t>
  </si>
  <si>
    <t>PENCAPAIAN SEMASA PENILAIAN PERTAMA</t>
  </si>
  <si>
    <t>STATUS SASARAN</t>
  </si>
  <si>
    <t>PENCAPAIAN SEMASA PENILAIAN AKHIR</t>
  </si>
  <si>
    <t>BILANGAN SASARAN YANG DINILAI</t>
  </si>
  <si>
    <t>JUMLAH MARKAH</t>
  </si>
  <si>
    <t>PURATA PENCAPAIAN</t>
  </si>
  <si>
    <t>SKOR</t>
  </si>
  <si>
    <t>TANDATANGAN DAN TARIKH</t>
  </si>
  <si>
    <t>PENETAPAN SASARAN</t>
  </si>
  <si>
    <t>SEMAKAN SASARAN</t>
  </si>
  <si>
    <t>MARKAH</t>
  </si>
  <si>
    <t>PENILAIAN BERSEPADU PEGAWAI PERKHIDMATAN PENDIDIKAN</t>
  </si>
  <si>
    <t>BORANG KEBERHASILAN</t>
  </si>
  <si>
    <t>NAMA PYD</t>
  </si>
  <si>
    <t>GRED</t>
  </si>
  <si>
    <t>NO.K.P.</t>
  </si>
  <si>
    <t>TEMPAT BERTUGAS</t>
  </si>
  <si>
    <t>JAWATAN</t>
  </si>
  <si>
    <t>KEKAL</t>
  </si>
  <si>
    <t>PINDA</t>
  </si>
  <si>
    <t>GUGUR</t>
  </si>
  <si>
    <t>TAMBAH</t>
  </si>
  <si>
    <t>GURU AKADEMIK BIASA</t>
  </si>
  <si>
    <t>KURIKULUM</t>
  </si>
  <si>
    <t>SITI FAIZAH BINTI HASSAN</t>
  </si>
  <si>
    <t>SK JALAN DATUK PALEMBANG</t>
  </si>
  <si>
    <t>DG10</t>
  </si>
  <si>
    <t>TAHUN 2026</t>
  </si>
  <si>
    <t>PP1</t>
  </si>
  <si>
    <t>PP2</t>
  </si>
  <si>
    <t>PYD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</si>
</sst>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0.5"/>
      <name val="Arial Narrow"/>
      <family val="2"/>
    </font>
    <font>
      <b/>
      <sz val="13"/>
      <name val="Arial Narrow"/>
      <family val="2"/>
    </font>
    <font>
      <b/>
      <sz val="15"/>
      <name val="Arial Narrow"/>
      <family val="2"/>
    </font>
    <font>
      <sz val="11"/>
      <color indexed="81"/>
      <name val="Arial Narrow"/>
      <family val="2"/>
    </font>
    <font>
      <i/>
      <sz val="11"/>
      <color indexed="81"/>
      <name val="Arial Narrow"/>
      <family val="2"/>
    </font>
    <font>
      <sz val="11"/>
      <color theme="0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5"/>
      <color theme="1"/>
      <name val="Arial Narrow"/>
      <family val="2"/>
    </font>
    <font>
      <b/>
      <sz val="8"/>
      <color theme="0"/>
      <name val="Century Gothic"/>
      <family val="2"/>
    </font>
    <font>
      <b/>
      <sz val="11"/>
      <color theme="0"/>
      <name val="Century Gothic"/>
      <family val="2"/>
    </font>
    <font>
      <sz val="11"/>
      <color theme="0"/>
      <name val="Century Gothic"/>
      <family val="2"/>
    </font>
    <font>
      <b/>
      <sz val="11"/>
      <color rgb="FF800000"/>
      <name val="Arial Narrow"/>
      <family val="2"/>
    </font>
    <font>
      <b/>
      <sz val="11"/>
      <color theme="0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entury Gothic"/>
      <family val="2"/>
    </font>
    <font>
      <b/>
      <sz val="13"/>
      <color theme="1"/>
      <name val="Century Gothic"/>
      <family val="2"/>
    </font>
    <font>
      <b/>
      <sz val="10.5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7" fillId="0" borderId="0" xfId="0" applyFont="1"/>
    <xf numFmtId="0" fontId="8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6" fillId="0" borderId="0" xfId="0" applyFont="1"/>
    <xf numFmtId="0" fontId="10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6" fillId="0" borderId="11" xfId="0" applyFont="1" applyBorder="1"/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3" borderId="1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8" fillId="3" borderId="6" xfId="0" applyFont="1" applyFill="1" applyBorder="1" applyAlignment="1">
      <alignment horizontal="left" vertical="center" wrapText="1"/>
    </xf>
    <xf numFmtId="0" fontId="8" fillId="3" borderId="12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12" fontId="7" fillId="0" borderId="6" xfId="0" applyNumberFormat="1" applyFont="1" applyBorder="1" applyAlignment="1">
      <alignment horizontal="center" vertical="center"/>
    </xf>
    <xf numFmtId="12" fontId="7" fillId="0" borderId="12" xfId="0" applyNumberFormat="1" applyFont="1" applyBorder="1" applyAlignment="1">
      <alignment horizontal="center" vertical="center"/>
    </xf>
    <xf numFmtId="12" fontId="7" fillId="0" borderId="13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9" fillId="0" borderId="14" xfId="0" applyFont="1" applyBorder="1" applyAlignment="1">
      <alignment horizontal="right" vertical="center" wrapText="1"/>
    </xf>
    <xf numFmtId="0" fontId="9" fillId="0" borderId="10" xfId="0" applyFont="1" applyBorder="1" applyAlignment="1">
      <alignment horizontal="right" vertical="center" wrapText="1"/>
    </xf>
    <xf numFmtId="0" fontId="8" fillId="0" borderId="14" xfId="0" applyFont="1" applyBorder="1" applyAlignment="1">
      <alignment horizontal="right" vertical="center" wrapText="1"/>
    </xf>
    <xf numFmtId="0" fontId="8" fillId="0" borderId="10" xfId="0" applyFont="1" applyBorder="1" applyAlignment="1">
      <alignment horizontal="right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0</xdr:row>
      <xdr:rowOff>0</xdr:rowOff>
    </xdr:from>
    <xdr:to>
      <xdr:col>8</xdr:col>
      <xdr:colOff>381000</xdr:colOff>
      <xdr:row>5</xdr:row>
      <xdr:rowOff>228600</xdr:rowOff>
    </xdr:to>
    <xdr:grpSp>
      <xdr:nvGrpSpPr>
        <xdr:cNvPr id="1260" name="Group 10">
          <a:extLst>
            <a:ext uri="{FF2B5EF4-FFF2-40B4-BE49-F238E27FC236}">
              <a16:creationId xmlns:a16="http://schemas.microsoft.com/office/drawing/2014/main" id="{4B4EE66F-3E90-87E9-C1F8-ACE6D4C966D3}"/>
            </a:ext>
          </a:extLst>
        </xdr:cNvPr>
        <xdr:cNvGrpSpPr>
          <a:grpSpLocks/>
        </xdr:cNvGrpSpPr>
      </xdr:nvGrpSpPr>
      <xdr:grpSpPr bwMode="auto">
        <a:xfrm>
          <a:off x="8940441" y="0"/>
          <a:ext cx="2199616" cy="1414732"/>
          <a:chOff x="7444202" y="143582"/>
          <a:chExt cx="2100594" cy="1644688"/>
        </a:xfrm>
      </xdr:grpSpPr>
      <xdr:pic>
        <xdr:nvPicPr>
          <xdr:cNvPr id="1261" name="Picture 5">
            <a:extLst>
              <a:ext uri="{FF2B5EF4-FFF2-40B4-BE49-F238E27FC236}">
                <a16:creationId xmlns:a16="http://schemas.microsoft.com/office/drawing/2014/main" id="{55B2576F-7319-CB18-3AC2-DC79D14C3D5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8434" b="8653"/>
          <a:stretch>
            <a:fillRect/>
          </a:stretch>
        </xdr:blipFill>
        <xdr:spPr bwMode="auto">
          <a:xfrm>
            <a:off x="8050760" y="143582"/>
            <a:ext cx="798508" cy="823652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5B9BD5"/>
                </a:solidFill>
              </a14:hiddenFill>
            </a:ext>
            <a:ext uri="{91240B29-F687-4F45-9708-019B960494DF}">
              <a14:hiddenLine xmlns:a14="http://schemas.microsoft.com/office/drawing/2010/main" w="254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000000"/>
                  </a:outerShdw>
                </a:effectLst>
              </a14:hiddenEffects>
            </a:ext>
          </a:extLst>
        </xdr:spPr>
      </xdr:pic>
      <xdr:sp macro="" textlink="">
        <xdr:nvSpPr>
          <xdr:cNvPr id="7" name="Text Box 4">
            <a:extLst>
              <a:ext uri="{FF2B5EF4-FFF2-40B4-BE49-F238E27FC236}">
                <a16:creationId xmlns:a16="http://schemas.microsoft.com/office/drawing/2014/main" id="{BCAE0738-610C-62F6-8A0B-58BA1513FFCA}"/>
              </a:ext>
            </a:extLst>
          </xdr:cNvPr>
          <xdr:cNvSpPr txBox="1">
            <a:spLocks noChangeArrowheads="1"/>
          </xdr:cNvSpPr>
        </xdr:nvSpPr>
        <xdr:spPr bwMode="auto">
          <a:xfrm>
            <a:off x="7444202" y="958517"/>
            <a:ext cx="2100594" cy="829753"/>
          </a:xfrm>
          <a:prstGeom prst="rect">
            <a:avLst/>
          </a:prstGeom>
          <a:noFill/>
          <a:ln w="25400" algn="ctr">
            <a:noFill/>
            <a:miter lim="800000"/>
            <a:headEnd/>
            <a:tailEnd/>
          </a:ln>
          <a:effectLst/>
        </xdr:spPr>
        <xdr:txBody>
          <a:bodyPr vert="horz" wrap="square" lIns="36576" tIns="36576" rIns="36576" bIns="36576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0" fontAlgn="base" latinLnBrk="0" hangingPunct="0">
              <a:lnSpc>
                <a:spcPts val="6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en-US" altLang="en-US" sz="900" b="1" i="0" u="none" strike="noStrike" cap="none" normalizeH="0" baseline="0">
                <a:ln>
                  <a:noFill/>
                </a:ln>
                <a:effectLst/>
                <a:latin typeface="Myriad Pro" panose="020B0703030403020204" pitchFamily="34" charset="0"/>
              </a:rPr>
              <a:t>KEMENTERIAN PENDIDIKAN </a:t>
            </a:r>
          </a:p>
          <a:p>
            <a:pPr marL="0" marR="0" lvl="0" indent="0" algn="ctr" defTabSz="914400" rtl="0" eaLnBrk="0" fontAlgn="base" latinLnBrk="0" hangingPunct="0">
              <a:lnSpc>
                <a:spcPts val="6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en-US" altLang="en-US" sz="900" b="1" i="0" u="none" strike="noStrike" cap="none" normalizeH="0" baseline="0">
              <a:ln>
                <a:noFill/>
              </a:ln>
              <a:effectLst/>
              <a:latin typeface="Myriad Pro" panose="020B0703030403020204" pitchFamily="34" charset="0"/>
            </a:endParaRPr>
          </a:p>
          <a:p>
            <a:pPr marL="0" marR="0" lvl="0" indent="0" algn="ctr" defTabSz="914400" rtl="0" eaLnBrk="0" fontAlgn="base" latinLnBrk="0" hangingPunct="0">
              <a:lnSpc>
                <a:spcPts val="6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en-US" altLang="en-US" sz="900" b="1" i="0" u="none" strike="noStrike" cap="none" normalizeH="0" baseline="0">
                <a:ln>
                  <a:noFill/>
                </a:ln>
                <a:effectLst/>
                <a:latin typeface="Myriad Pro" panose="020B0703030403020204" pitchFamily="34" charset="0"/>
              </a:rPr>
              <a:t>MALAYSIA</a:t>
            </a:r>
            <a:endParaRPr kumimoji="0" lang="en-US" altLang="en-US" sz="900" b="0" i="0" u="none" strike="noStrike" cap="none" normalizeH="0" baseline="0">
              <a:ln>
                <a:noFill/>
              </a:ln>
              <a:effectLst/>
              <a:latin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0</xdr:row>
          <xdr:rowOff>0</xdr:rowOff>
        </xdr:from>
        <xdr:to>
          <xdr:col>20</xdr:col>
          <xdr:colOff>590550</xdr:colOff>
          <xdr:row>81</xdr:row>
          <xdr:rowOff>63500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FA8BD593-A421-0EA8-D589-33FB230CEE1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BORANG KEBERHASILAN'!$A$1:$I$27" spid="_x0000_s20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24100" y="0"/>
              <a:ext cx="10458450" cy="149796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CA8D-A159-4308-9F48-44AC2D3003CD}">
  <dimension ref="A1:K28"/>
  <sheetViews>
    <sheetView tabSelected="1" view="pageBreakPreview" topLeftCell="A17" zoomScale="53" zoomScaleNormal="80" zoomScaleSheetLayoutView="53" workbookViewId="0">
      <selection activeCell="L26" sqref="L26"/>
    </sheetView>
  </sheetViews>
  <sheetFormatPr defaultColWidth="9.1796875" defaultRowHeight="14"/>
  <cols>
    <col min="1" max="1" width="26.26953125" style="1" customWidth="1"/>
    <col min="2" max="2" width="11.453125" style="1" customWidth="1"/>
    <col min="3" max="3" width="34.7265625" style="1" customWidth="1"/>
    <col min="4" max="4" width="20.1796875" style="29" customWidth="1"/>
    <col min="5" max="5" width="11" style="1" customWidth="1"/>
    <col min="6" max="6" width="19.26953125" style="29" customWidth="1"/>
    <col min="7" max="7" width="20.1796875" style="1" customWidth="1"/>
    <col min="8" max="8" width="11" style="1" customWidth="1"/>
    <col min="9" max="9" width="11.1796875" style="29" customWidth="1"/>
    <col min="10" max="16384" width="9.1796875" style="1"/>
  </cols>
  <sheetData>
    <row r="1" spans="1:11">
      <c r="A1" s="53" t="s">
        <v>17</v>
      </c>
      <c r="B1" s="53"/>
      <c r="C1" s="53"/>
      <c r="D1" s="53"/>
      <c r="E1" s="53"/>
      <c r="F1" s="53"/>
    </row>
    <row r="2" spans="1:11" ht="16">
      <c r="A2" s="52" t="s">
        <v>18</v>
      </c>
      <c r="B2" s="52"/>
      <c r="C2" s="52"/>
      <c r="D2" s="52"/>
      <c r="E2" s="52"/>
      <c r="F2" s="52"/>
    </row>
    <row r="3" spans="1:11" ht="15" customHeight="1">
      <c r="A3" s="52" t="s">
        <v>33</v>
      </c>
      <c r="B3" s="52"/>
      <c r="C3" s="52"/>
      <c r="D3" s="52"/>
      <c r="E3" s="52"/>
      <c r="F3" s="52"/>
    </row>
    <row r="4" spans="1:11" ht="34" customHeight="1"/>
    <row r="5" spans="1:11">
      <c r="A5" s="2" t="s">
        <v>19</v>
      </c>
      <c r="B5" s="41" t="s">
        <v>30</v>
      </c>
      <c r="C5" s="42"/>
      <c r="D5" s="43"/>
      <c r="E5" s="44" t="s">
        <v>20</v>
      </c>
      <c r="F5" s="45"/>
      <c r="G5" s="41" t="s">
        <v>32</v>
      </c>
      <c r="H5" s="42"/>
      <c r="I5" s="43"/>
    </row>
    <row r="6" spans="1:11" ht="18.75" customHeight="1">
      <c r="A6" s="2" t="s">
        <v>21</v>
      </c>
      <c r="B6" s="49">
        <v>890129075108</v>
      </c>
      <c r="C6" s="50"/>
      <c r="D6" s="51"/>
      <c r="E6" s="44" t="s">
        <v>22</v>
      </c>
      <c r="F6" s="45"/>
      <c r="G6" s="38" t="s">
        <v>31</v>
      </c>
      <c r="H6" s="47"/>
      <c r="I6" s="39"/>
    </row>
    <row r="7" spans="1:11">
      <c r="A7" s="2" t="s">
        <v>23</v>
      </c>
      <c r="B7" s="41" t="s">
        <v>28</v>
      </c>
      <c r="C7" s="42"/>
      <c r="D7" s="43"/>
      <c r="E7" s="44"/>
      <c r="F7" s="45"/>
      <c r="G7" s="38"/>
      <c r="H7" s="47"/>
      <c r="I7" s="39"/>
    </row>
    <row r="8" spans="1:11" ht="62.25" customHeight="1">
      <c r="A8" s="33" t="s">
        <v>4</v>
      </c>
      <c r="B8" s="33" t="s">
        <v>5</v>
      </c>
      <c r="C8" s="33" t="s">
        <v>0</v>
      </c>
      <c r="D8" s="33" t="s">
        <v>6</v>
      </c>
      <c r="E8" s="33" t="s">
        <v>1</v>
      </c>
      <c r="F8" s="33" t="s">
        <v>7</v>
      </c>
      <c r="G8" s="33" t="s">
        <v>8</v>
      </c>
      <c r="H8" s="33" t="s">
        <v>2</v>
      </c>
      <c r="I8" s="34" t="s">
        <v>3</v>
      </c>
    </row>
    <row r="9" spans="1:11" ht="90" customHeight="1">
      <c r="A9" s="46" t="s">
        <v>29</v>
      </c>
      <c r="B9" s="26"/>
      <c r="C9" s="27"/>
      <c r="D9" s="26"/>
      <c r="E9" s="28"/>
      <c r="F9" s="3"/>
      <c r="G9" s="26"/>
      <c r="H9" s="3"/>
      <c r="I9" s="35"/>
      <c r="K9" s="24"/>
    </row>
    <row r="10" spans="1:11" ht="81" customHeight="1">
      <c r="A10" s="46"/>
      <c r="B10" s="26"/>
      <c r="C10" s="27"/>
      <c r="D10" s="26"/>
      <c r="E10" s="28"/>
      <c r="F10" s="3"/>
      <c r="G10" s="26"/>
      <c r="H10" s="3"/>
      <c r="I10" s="35"/>
      <c r="K10" s="24"/>
    </row>
    <row r="11" spans="1:11" ht="81" customHeight="1">
      <c r="A11" s="46"/>
      <c r="B11" s="26"/>
      <c r="C11" s="27"/>
      <c r="D11" s="26"/>
      <c r="E11" s="28"/>
      <c r="F11" s="26"/>
      <c r="G11" s="26"/>
      <c r="H11" s="3"/>
      <c r="I11" s="35"/>
      <c r="K11" s="24"/>
    </row>
    <row r="12" spans="1:11" ht="79.5" customHeight="1">
      <c r="A12" s="46"/>
      <c r="B12" s="26"/>
      <c r="C12" s="27"/>
      <c r="D12" s="26"/>
      <c r="E12" s="28"/>
      <c r="F12" s="3"/>
      <c r="G12" s="26"/>
      <c r="H12" s="3"/>
      <c r="I12" s="35"/>
      <c r="K12" s="24"/>
    </row>
    <row r="13" spans="1:11" ht="79.5" customHeight="1">
      <c r="A13" s="46"/>
      <c r="B13" s="26"/>
      <c r="C13" s="27"/>
      <c r="D13" s="26"/>
      <c r="E13" s="28"/>
      <c r="F13" s="3"/>
      <c r="G13" s="26"/>
      <c r="H13" s="3"/>
      <c r="I13" s="35"/>
      <c r="K13" s="24"/>
    </row>
    <row r="14" spans="1:11" ht="45.65" customHeight="1">
      <c r="A14" s="46"/>
      <c r="B14" s="26"/>
      <c r="C14" s="27"/>
      <c r="D14" s="26"/>
      <c r="E14" s="28"/>
      <c r="F14" s="3"/>
      <c r="G14" s="26"/>
      <c r="H14" s="3"/>
      <c r="I14" s="35"/>
      <c r="K14" s="24"/>
    </row>
    <row r="15" spans="1:11" ht="84" customHeight="1">
      <c r="A15" s="46"/>
      <c r="B15" s="26"/>
      <c r="C15" s="27"/>
      <c r="D15" s="26"/>
      <c r="E15" s="28"/>
      <c r="F15" s="3"/>
      <c r="G15" s="26"/>
      <c r="H15" s="3"/>
      <c r="I15" s="35"/>
      <c r="K15" s="24"/>
    </row>
    <row r="16" spans="1:11" ht="81" customHeight="1" thickBot="1">
      <c r="A16" s="46"/>
      <c r="B16" s="28"/>
      <c r="C16" s="27"/>
      <c r="D16" s="26"/>
      <c r="E16" s="28"/>
      <c r="F16" s="3"/>
      <c r="G16" s="26"/>
      <c r="H16" s="3"/>
      <c r="I16" s="35"/>
      <c r="K16" s="24"/>
    </row>
    <row r="17" spans="1:11" ht="81" customHeight="1">
      <c r="A17" s="46"/>
      <c r="B17" s="28"/>
      <c r="C17" s="27"/>
      <c r="D17" s="26"/>
      <c r="E17" s="28"/>
      <c r="F17" s="3"/>
      <c r="G17" s="26"/>
      <c r="H17" s="3"/>
      <c r="I17" s="35"/>
      <c r="K17" s="24"/>
    </row>
    <row r="18" spans="1:11" ht="81" customHeight="1" thickBot="1">
      <c r="A18" s="46"/>
      <c r="B18" s="28"/>
      <c r="C18" s="27"/>
      <c r="D18" s="26"/>
      <c r="E18" s="28"/>
      <c r="F18" s="3"/>
      <c r="G18" s="26"/>
      <c r="H18" s="3"/>
      <c r="I18" s="35"/>
      <c r="K18" s="24"/>
    </row>
    <row r="19" spans="1:11" ht="18" customHeight="1" thickBot="1">
      <c r="A19" s="56" t="s">
        <v>9</v>
      </c>
      <c r="B19" s="57"/>
      <c r="C19" s="57"/>
      <c r="D19" s="57"/>
      <c r="E19" s="30">
        <f>COUNTIF(E9:E18,"&gt;0.9")</f>
        <v>0</v>
      </c>
      <c r="F19" s="5"/>
      <c r="G19" s="31"/>
      <c r="H19" s="30">
        <f>COUNTIF(H9:H18,"&gt;0.9")</f>
        <v>0</v>
      </c>
      <c r="I19" s="32"/>
    </row>
    <row r="20" spans="1:11" ht="18" customHeight="1">
      <c r="A20" s="56" t="s">
        <v>10</v>
      </c>
      <c r="B20" s="57"/>
      <c r="C20" s="57"/>
      <c r="D20" s="57"/>
      <c r="E20" s="10">
        <f>SUM(E9:E18)</f>
        <v>0</v>
      </c>
      <c r="F20" s="5"/>
      <c r="G20" s="6"/>
      <c r="H20" s="10">
        <f>SUM(H9:H18)</f>
        <v>0</v>
      </c>
      <c r="I20" s="8"/>
    </row>
    <row r="21" spans="1:11" ht="18" customHeight="1">
      <c r="A21" s="56" t="s">
        <v>11</v>
      </c>
      <c r="B21" s="57"/>
      <c r="C21" s="57"/>
      <c r="D21" s="57"/>
      <c r="E21" s="11" t="e">
        <f>E20/E19</f>
        <v>#DIV/0!</v>
      </c>
      <c r="F21" s="6"/>
      <c r="G21" s="6"/>
      <c r="H21" s="11" t="e">
        <f>H20/H19</f>
        <v>#DIV/0!</v>
      </c>
      <c r="I21" s="8"/>
    </row>
    <row r="22" spans="1:11" ht="18" customHeight="1" thickBot="1">
      <c r="A22" s="54" t="s">
        <v>12</v>
      </c>
      <c r="B22" s="55"/>
      <c r="C22" s="55"/>
      <c r="D22" s="55"/>
      <c r="E22" s="12" t="e">
        <f>VLOOKUP(E21,Sheet2!B6:C10,2)</f>
        <v>#DIV/0!</v>
      </c>
      <c r="F22" s="6"/>
      <c r="G22" s="7"/>
      <c r="H22" s="13" t="e">
        <f>VLOOKUP(H21,Sheet2!B6:C10,2)</f>
        <v>#DIV/0!</v>
      </c>
      <c r="I22" s="9"/>
    </row>
    <row r="23" spans="1:11" ht="26.5" customHeight="1">
      <c r="A23" s="58" t="s">
        <v>13</v>
      </c>
      <c r="B23" s="58"/>
      <c r="C23" s="58"/>
      <c r="D23" s="58"/>
      <c r="E23" s="58"/>
      <c r="F23" s="58"/>
      <c r="G23" s="58"/>
      <c r="H23" s="58"/>
      <c r="I23" s="58"/>
    </row>
    <row r="24" spans="1:11" ht="37.5" customHeight="1">
      <c r="A24" s="36"/>
      <c r="B24" s="37"/>
      <c r="C24" s="4" t="s">
        <v>14</v>
      </c>
      <c r="D24" s="4" t="s">
        <v>1</v>
      </c>
      <c r="E24" s="36" t="s">
        <v>15</v>
      </c>
      <c r="F24" s="37"/>
      <c r="G24" s="4" t="s">
        <v>2</v>
      </c>
      <c r="H24" s="48" t="s">
        <v>3</v>
      </c>
      <c r="I24" s="48"/>
    </row>
    <row r="25" spans="1:11" ht="25" customHeight="1">
      <c r="A25" s="59" t="s">
        <v>34</v>
      </c>
      <c r="B25" s="59"/>
      <c r="C25" s="3"/>
      <c r="D25" s="3"/>
      <c r="E25" s="60"/>
      <c r="F25" s="60"/>
      <c r="G25" s="3"/>
      <c r="H25" s="40"/>
      <c r="I25" s="40"/>
    </row>
    <row r="26" spans="1:11" ht="25" customHeight="1">
      <c r="A26" s="59" t="s">
        <v>35</v>
      </c>
      <c r="B26" s="59"/>
      <c r="C26" s="3"/>
      <c r="D26" s="3"/>
      <c r="E26" s="60"/>
      <c r="F26" s="60"/>
      <c r="G26" s="3"/>
      <c r="H26" s="40"/>
      <c r="I26" s="40"/>
    </row>
    <row r="27" spans="1:11" ht="25" customHeight="1">
      <c r="A27" s="59" t="s">
        <v>36</v>
      </c>
      <c r="B27" s="59"/>
      <c r="C27" s="3"/>
      <c r="D27" s="3"/>
      <c r="E27" s="60"/>
      <c r="F27" s="61"/>
      <c r="G27" s="3"/>
      <c r="H27" s="40"/>
      <c r="I27" s="40"/>
    </row>
    <row r="28" spans="1:11">
      <c r="F28" s="62"/>
    </row>
  </sheetData>
  <protectedRanges>
    <protectedRange sqref="A8:B8 E8:F8 H8:I8 A19:A22 A24" name="Range4"/>
    <protectedRange sqref="K9:K18" name="Range4_1_1"/>
    <protectedRange sqref="B9:C13 B14:B15" name="Range4_2"/>
  </protectedRanges>
  <mergeCells count="29">
    <mergeCell ref="A1:F1"/>
    <mergeCell ref="B5:D5"/>
    <mergeCell ref="E5:F5"/>
    <mergeCell ref="A22:D22"/>
    <mergeCell ref="A19:D19"/>
    <mergeCell ref="A20:D20"/>
    <mergeCell ref="A21:D21"/>
    <mergeCell ref="G6:I7"/>
    <mergeCell ref="H24:I24"/>
    <mergeCell ref="B6:D6"/>
    <mergeCell ref="A2:F2"/>
    <mergeCell ref="A3:F3"/>
    <mergeCell ref="G5:I5"/>
    <mergeCell ref="A9:A13"/>
    <mergeCell ref="A23:I23"/>
    <mergeCell ref="B7:D7"/>
    <mergeCell ref="E6:F7"/>
    <mergeCell ref="A27:B27"/>
    <mergeCell ref="A24:B24"/>
    <mergeCell ref="A14:A18"/>
    <mergeCell ref="A26:B26"/>
    <mergeCell ref="A25:B25"/>
    <mergeCell ref="E27:F27"/>
    <mergeCell ref="E24:F24"/>
    <mergeCell ref="E25:F25"/>
    <mergeCell ref="E26:F26"/>
    <mergeCell ref="H26:I26"/>
    <mergeCell ref="H27:I27"/>
    <mergeCell ref="H25:I25"/>
  </mergeCells>
  <dataValidations count="2">
    <dataValidation type="whole" allowBlank="1" showInputMessage="1" showErrorMessage="1" sqref="I19:I22 G19:G22 F19:F22" xr:uid="{36704DD4-669E-4918-A5A4-45941853A7DB}">
      <formula1>100000000</formula1>
      <formula2>100000001</formula2>
    </dataValidation>
    <dataValidation type="whole" allowBlank="1" showInputMessage="1" showErrorMessage="1" sqref="E9:E18 H9:H18" xr:uid="{B3ECE811-2D49-47C7-97B7-3872FE39A5F7}">
      <formula1>1</formula1>
      <formula2>100</formula2>
    </dataValidation>
  </dataValidations>
  <printOptions horizontalCentered="1" verticalCentered="1"/>
  <pageMargins left="0.23622047244094491" right="0.27559055118110237" top="0.23622047244094491" bottom="0.23622047244094491" header="0.31496062992125984" footer="0.31496062992125984"/>
  <pageSetup paperSize="9" scale="59" orientation="portrait" horizont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0481-8CE0-4C0C-8FDA-9973CCE33A5E}">
  <dimension ref="A1"/>
  <sheetViews>
    <sheetView topLeftCell="D67" workbookViewId="0">
      <selection activeCell="H9" sqref="H9"/>
    </sheetView>
  </sheetViews>
  <sheetFormatPr defaultRowHeight="14.5"/>
  <sheetData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6163-D472-4C6F-B76C-C88A27861715}">
  <dimension ref="B4:G11"/>
  <sheetViews>
    <sheetView workbookViewId="0">
      <selection activeCell="D6" sqref="D6"/>
    </sheetView>
  </sheetViews>
  <sheetFormatPr defaultColWidth="9.1796875" defaultRowHeight="14.5"/>
  <cols>
    <col min="1" max="1" width="9.1796875" style="14"/>
    <col min="2" max="2" width="10.81640625" style="14" customWidth="1"/>
    <col min="3" max="3" width="11.81640625" style="14" customWidth="1"/>
    <col min="4" max="16384" width="9.1796875" style="14"/>
  </cols>
  <sheetData>
    <row r="4" spans="2:7">
      <c r="B4" s="14" t="s">
        <v>12</v>
      </c>
    </row>
    <row r="5" spans="2:7">
      <c r="B5" s="15" t="s">
        <v>16</v>
      </c>
      <c r="C5" s="16" t="s">
        <v>12</v>
      </c>
      <c r="F5" s="25" t="s">
        <v>7</v>
      </c>
    </row>
    <row r="6" spans="2:7">
      <c r="B6" s="17">
        <v>0</v>
      </c>
      <c r="C6" s="18">
        <v>1</v>
      </c>
      <c r="F6" s="14" t="s">
        <v>24</v>
      </c>
    </row>
    <row r="7" spans="2:7">
      <c r="B7" s="17">
        <v>21</v>
      </c>
      <c r="C7" s="18">
        <v>2</v>
      </c>
      <c r="F7" s="14" t="s">
        <v>25</v>
      </c>
    </row>
    <row r="8" spans="2:7">
      <c r="B8" s="17">
        <v>41</v>
      </c>
      <c r="C8" s="18">
        <v>3</v>
      </c>
      <c r="F8" s="14" t="s">
        <v>26</v>
      </c>
    </row>
    <row r="9" spans="2:7" ht="15" thickBot="1">
      <c r="B9" s="19">
        <v>61</v>
      </c>
      <c r="C9" s="20">
        <v>4</v>
      </c>
      <c r="F9" s="14" t="s">
        <v>27</v>
      </c>
    </row>
    <row r="10" spans="2:7" ht="15.5" thickTop="1" thickBot="1">
      <c r="B10" s="21">
        <v>81</v>
      </c>
      <c r="C10" s="22">
        <v>5</v>
      </c>
      <c r="F10" s="23"/>
      <c r="G10" s="23"/>
    </row>
    <row r="11" spans="2:7" ht="15" thickTop="1">
      <c r="B11" s="23"/>
      <c r="C11" s="23"/>
    </row>
  </sheetData>
  <sheetProtection sheet="1" objects="1" scenarios="1"/>
  <protectedRanges>
    <protectedRange sqref="F5" name="Range4_1_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BORANG KEBERHASILAN</vt:lpstr>
      <vt:lpstr>Sheet1</vt:lpstr>
      <vt:lpstr>Sheet2</vt:lpstr>
      <vt:lpstr>'BORANG KEBERHASILAN'!Print_Area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Cikgu Mahdy</dc:creator>
  <cp:lastModifiedBy>SITI FAIZAH HASSAN</cp:lastModifiedBy>
  <cp:lastPrinted>2026-05-04T01:19:49Z</cp:lastPrinted>
  <dcterms:created xsi:type="dcterms:W3CDTF">2021-02-10T00:46:25Z</dcterms:created>
  <dcterms:modified xsi:type="dcterms:W3CDTF">2026-07-02T05:43:37Z</dcterms:modified>
</cp:coreProperties>
</file>